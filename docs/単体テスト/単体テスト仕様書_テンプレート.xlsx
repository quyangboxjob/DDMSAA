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単体テスト項目表（BE）" sheetId="2" state="visible" r:id="rId2"/>
    <sheet xmlns:r="http://schemas.openxmlformats.org/officeDocument/2006/relationships" name="単体テスト項目表（FE）" sheetId="3" state="visible" r:id="rId3"/>
    <sheet xmlns:r="http://schemas.openxmlformats.org/officeDocument/2006/relationships" name="不具合管理" sheetId="4" state="visible" r:id="rId4"/>
    <sheet xmlns:r="http://schemas.openxmlformats.org/officeDocument/2006/relationships" name="完了判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595959"/>
      <sz val="10"/>
    </font>
    <font>
      <name val="Meiryo"/>
      <b val="1"/>
      <color rgb="001F4E78"/>
      <sz val="11"/>
    </font>
    <font>
      <name val="Meiryo"/>
      <b val="1"/>
      <color rgb="00000000"/>
      <sz val="9"/>
    </font>
    <font>
      <name val="Meiryo"/>
      <color rgb="00000000"/>
      <sz val="9"/>
    </font>
    <font>
      <name val="Meiryo"/>
      <b val="1"/>
      <color rgb="00FFFFFF"/>
      <sz val="10"/>
    </font>
    <font>
      <name val="Meiryo"/>
      <color rgb="007F7F7F"/>
      <sz val="9"/>
    </font>
    <font>
      <name val="Meiryo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単体テスト仕様書</t>
        </is>
      </c>
    </row>
    <row r="2" ht="18" customHeight="1">
      <c r="A2" s="2" t="inlineStr">
        <is>
          <t>Unit Test Specification（単体テスト 仕様書 兼 結果記録）</t>
        </is>
      </c>
    </row>
    <row r="4">
      <c r="B4" s="3" t="inlineStr">
        <is>
          <t>■ 文書情報</t>
        </is>
      </c>
    </row>
    <row r="5" ht="22" customHeight="1">
      <c r="B5" s="4" t="inlineStr">
        <is>
          <t>システム名</t>
        </is>
      </c>
      <c r="C5" s="5" t="inlineStr">
        <is>
          <t>〇〇システム</t>
        </is>
      </c>
      <c r="D5" s="6" t="n"/>
      <c r="E5" s="4" t="inlineStr">
        <is>
          <t>対象サービス</t>
        </is>
      </c>
      <c r="F5" s="5" t="inlineStr">
        <is>
          <t>business-service-core</t>
        </is>
      </c>
      <c r="G5" s="7" t="n"/>
      <c r="H5" s="6" t="n"/>
    </row>
    <row r="6" ht="22" customHeight="1">
      <c r="B6" s="4" t="inlineStr">
        <is>
          <t>文書名</t>
        </is>
      </c>
      <c r="C6" s="5" t="inlineStr">
        <is>
          <t>〇〇機能 単体テスト仕様書</t>
        </is>
      </c>
      <c r="D6" s="6" t="n"/>
      <c r="E6" s="4" t="inlineStr">
        <is>
          <t>対象区分</t>
        </is>
      </c>
      <c r="F6" s="5" t="inlineStr">
        <is>
          <t>バックエンド / フロントエンド</t>
        </is>
      </c>
      <c r="G6" s="7" t="n"/>
      <c r="H6" s="6" t="n"/>
    </row>
    <row r="7" ht="22" customHeight="1">
      <c r="B7" s="4" t="inlineStr">
        <is>
          <t>機能名 / F-ID</t>
        </is>
      </c>
      <c r="C7" s="5" t="inlineStr">
        <is>
          <t>〇〇機能 / F-〇〇-01</t>
        </is>
      </c>
      <c r="D7" s="6" t="n"/>
      <c r="E7" s="4" t="inlineStr">
        <is>
          <t>対象 slug</t>
        </is>
      </c>
      <c r="F7" s="5" t="inlineStr">
        <is>
          <t>〇〇（UT-&lt;FEATURE&gt;）</t>
        </is>
      </c>
      <c r="G7" s="7" t="n"/>
      <c r="H7" s="6" t="n"/>
    </row>
    <row r="8" ht="22" customHeight="1">
      <c r="B8" s="4" t="inlineStr">
        <is>
          <t>文書バージョン</t>
        </is>
      </c>
      <c r="C8" s="5" t="inlineStr">
        <is>
          <t>V0.1</t>
        </is>
      </c>
      <c r="D8" s="6" t="n"/>
      <c r="E8" s="4" t="inlineStr">
        <is>
          <t>ステータス</t>
        </is>
      </c>
      <c r="F8" s="5" t="inlineStr">
        <is>
          <t>草案 / レビュー中 / 確定</t>
        </is>
      </c>
      <c r="G8" s="7" t="n"/>
      <c r="H8" s="6" t="n"/>
    </row>
    <row r="9" ht="22" customHeight="1">
      <c r="B9" s="4" t="inlineStr">
        <is>
          <t>作成者</t>
        </is>
      </c>
      <c r="C9" s="5" t="inlineStr">
        <is>
          <t>〇〇</t>
        </is>
      </c>
      <c r="D9" s="6" t="n"/>
      <c r="E9" s="4" t="inlineStr">
        <is>
          <t>作成日</t>
        </is>
      </c>
      <c r="F9" s="5" t="inlineStr">
        <is>
          <t>YYYY-MM-DD</t>
        </is>
      </c>
      <c r="G9" s="7" t="n"/>
      <c r="H9" s="6" t="n"/>
    </row>
    <row r="10" ht="22" customHeight="1">
      <c r="B10" s="4" t="inlineStr">
        <is>
          <t>レビュー者</t>
        </is>
      </c>
      <c r="C10" s="5" t="inlineStr">
        <is>
          <t>〇〇</t>
        </is>
      </c>
      <c r="D10" s="6" t="n"/>
      <c r="E10" s="4" t="inlineStr">
        <is>
          <t>レビュー日</t>
        </is>
      </c>
      <c r="F10" s="5" t="inlineStr">
        <is>
          <t>YYYY-MM-DD</t>
        </is>
      </c>
      <c r="G10" s="7" t="n"/>
      <c r="H10" s="6" t="n"/>
    </row>
    <row r="11" ht="22" customHeight="1">
      <c r="B11" s="4" t="inlineStr">
        <is>
          <t>承認者</t>
        </is>
      </c>
      <c r="C11" s="5" t="inlineStr">
        <is>
          <t>〇〇</t>
        </is>
      </c>
      <c r="D11" s="6" t="n"/>
      <c r="E11" s="4" t="inlineStr">
        <is>
          <t>承認日</t>
        </is>
      </c>
      <c r="F11" s="5" t="inlineStr">
        <is>
          <t>YYYY-MM-DD</t>
        </is>
      </c>
      <c r="G11" s="7" t="n"/>
      <c r="H11" s="6" t="n"/>
    </row>
    <row r="13">
      <c r="B13" s="3" t="inlineStr">
        <is>
          <t>■ 試験結果サマリ（項目表から自動集計）</t>
        </is>
      </c>
    </row>
    <row r="14" ht="24" customHeight="1">
      <c r="B14" s="8" t="inlineStr">
        <is>
          <t>区分</t>
        </is>
      </c>
      <c r="C14" s="8" t="inlineStr">
        <is>
          <t>項目数</t>
        </is>
      </c>
      <c r="D14" s="8" t="inlineStr">
        <is>
          <t>OK</t>
        </is>
      </c>
      <c r="E14" s="8" t="inlineStr">
        <is>
          <t>NG</t>
        </is>
      </c>
      <c r="F14" s="8" t="inlineStr">
        <is>
          <t>対象外</t>
        </is>
      </c>
      <c r="G14" s="8" t="inlineStr">
        <is>
          <t>未実施</t>
        </is>
      </c>
      <c r="H14" s="8" t="inlineStr">
        <is>
          <t>消化率</t>
        </is>
      </c>
    </row>
    <row r="15" ht="22" customHeight="1">
      <c r="B15" s="5" t="inlineStr">
        <is>
          <t>バックエンド</t>
        </is>
      </c>
      <c r="C15" s="9">
        <f>COUNTA('単体テスト項目表（BE）'!B4:B203)</f>
        <v/>
      </c>
      <c r="D15" s="9">
        <f>COUNTIF('単体テスト項目表（BE）'!N4:N203,"OK")</f>
        <v/>
      </c>
      <c r="E15" s="9">
        <f>COUNTIF('単体テスト項目表（BE）'!N4:N203,"NG")</f>
        <v/>
      </c>
      <c r="F15" s="9">
        <f>COUNTIF('単体テスト項目表（BE）'!N4:N203,"対象外")</f>
        <v/>
      </c>
      <c r="G15" s="9">
        <f>C15-D15-E15-F15</f>
        <v/>
      </c>
      <c r="H15" s="10">
        <f>IF(C15=0,"-",(D15+E15+F15)/C15)</f>
        <v/>
      </c>
    </row>
    <row r="16" ht="22" customHeight="1">
      <c r="B16" s="5" t="inlineStr">
        <is>
          <t>フロントエンド</t>
        </is>
      </c>
      <c r="C16" s="9">
        <f>COUNTA('単体テスト項目表（FE）'!B4:B203)</f>
        <v/>
      </c>
      <c r="D16" s="9">
        <f>COUNTIF('単体テスト項目表（FE）'!L4:L203,"OK")</f>
        <v/>
      </c>
      <c r="E16" s="9">
        <f>COUNTIF('単体テスト項目表（FE）'!L4:L203,"NG")</f>
        <v/>
      </c>
      <c r="F16" s="9">
        <f>COUNTIF('単体テスト項目表（FE）'!L4:L203,"対象外")</f>
        <v/>
      </c>
      <c r="G16" s="9">
        <f>C16-D16-E16-F16</f>
        <v/>
      </c>
      <c r="H16" s="10">
        <f>IF(C16=0,"-",(D16+E16+F16)/C16)</f>
        <v/>
      </c>
    </row>
    <row r="17" ht="22" customHeight="1">
      <c r="B17" s="11" t="inlineStr">
        <is>
          <t>合計</t>
        </is>
      </c>
      <c r="C17" s="12">
        <f>SUM(C15:C16)</f>
        <v/>
      </c>
      <c r="D17" s="12">
        <f>SUM(D15:D16)</f>
        <v/>
      </c>
      <c r="E17" s="12">
        <f>SUM(E15:E16)</f>
        <v/>
      </c>
      <c r="F17" s="12">
        <f>SUM(F15:F16)</f>
        <v/>
      </c>
      <c r="G17" s="12">
        <f>SUM(G15:G16)</f>
        <v/>
      </c>
      <c r="H17" s="13">
        <f>IF(C17=0,"-",(D17+E17+F17)/C17)</f>
        <v/>
      </c>
    </row>
    <row r="19">
      <c r="B19" s="3" t="inlineStr">
        <is>
          <t>■ 凡例・記入要領</t>
        </is>
      </c>
    </row>
    <row r="20" ht="16" customHeight="1">
      <c r="B20" s="14" t="inlineStr">
        <is>
          <t>・本書は「単体テスト 仕様書」と「結果記録」を兼ねる（日本の標準様式）。白セルが記入欄、薄黄は記入例（正式記入時に削除）。</t>
        </is>
      </c>
    </row>
    <row r="21" ht="16" customHeight="1">
      <c r="B21" s="14" t="inlineStr">
        <is>
          <t>・1 項目 ＝ 1 UT-ID ＝ 1 テストメソッド。UT-ID と用例は詳細設計 §5.1「UT 用例一覧」から転記する（テスト工程で追加・発明しない）。</t>
        </is>
      </c>
    </row>
    <row r="22" ht="16" customHeight="1">
      <c r="B22" s="14" t="inlineStr">
        <is>
          <t>・期待結果は SSOT 参照のみ：messageId←spec-09-message-list.yaml / HTTP←例外型ごとの固定マッピング / マスク←spec-03-auth-ui.md。</t>
        </is>
      </c>
    </row>
    <row r="23" ht="16" customHeight="1">
      <c r="B23" s="14" t="inlineStr">
        <is>
          <t>・実施結果はプルダウン（OK / NG / 対象外 / 保留）。NG は『不具合管理』シートに起票し、不具合No を項目表へ記入する。</t>
        </is>
      </c>
    </row>
    <row r="24" ht="16" customHeight="1">
      <c r="B24" s="14" t="inlineStr">
        <is>
          <t>・推奨層：L1=純ロジック(Mockito) / L2=Webスライス(@WebMvcTest) / L3=端到端(実DB)。詳細は 開発規約/spec-test-rule.md を正とする。</t>
        </is>
      </c>
    </row>
    <row r="25" ht="16" customHeight="1">
      <c r="B25" s="14" t="inlineStr">
        <is>
          <t>・テストメソッドの @DisplayName は『UT-&lt;FEATURE&gt;-NNN &lt;条件→期待&gt;』で先頭に ID を付与する（JUnit XML からの逆引きの前提）。</t>
        </is>
      </c>
    </row>
  </sheetData>
  <mergeCells count="22">
    <mergeCell ref="C6:D6"/>
    <mergeCell ref="F5:H5"/>
    <mergeCell ref="C5:D5"/>
    <mergeCell ref="F8:H8"/>
    <mergeCell ref="B24:H24"/>
    <mergeCell ref="A1:H1"/>
    <mergeCell ref="B20:H20"/>
    <mergeCell ref="C10:D10"/>
    <mergeCell ref="F9:H9"/>
    <mergeCell ref="C9:D9"/>
    <mergeCell ref="B25:H25"/>
    <mergeCell ref="B22:H22"/>
    <mergeCell ref="C11:D11"/>
    <mergeCell ref="A2:H2"/>
    <mergeCell ref="B21:H21"/>
    <mergeCell ref="F11:H11"/>
    <mergeCell ref="C8:D8"/>
    <mergeCell ref="B23:H23"/>
    <mergeCell ref="F10:H10"/>
    <mergeCell ref="F6:H6"/>
    <mergeCell ref="C7:D7"/>
    <mergeCell ref="F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2" customWidth="1" min="4" max="4"/>
    <col width="20" customWidth="1" min="5" max="5"/>
    <col width="7" customWidth="1" min="6" max="6"/>
    <col width="8" customWidth="1" min="7" max="7"/>
    <col width="24" customWidth="1" min="8" max="8"/>
    <col width="26" customWidth="1" min="9" max="9"/>
    <col width="22" customWidth="1" min="10" max="10"/>
    <col width="30" customWidth="1" min="11" max="11"/>
    <col width="28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 ht="26" customHeight="1">
      <c r="A1" s="1" t="inlineStr">
        <is>
          <t>単体テスト項目表（バックエンド）</t>
        </is>
      </c>
    </row>
    <row r="3" ht="30" customHeight="1">
      <c r="A3" s="8" t="inlineStr">
        <is>
          <t>No.</t>
        </is>
      </c>
      <c r="B3" s="8" t="inlineStr">
        <is>
          <t>UT-ID</t>
        </is>
      </c>
      <c r="C3" s="8" t="inlineStr">
        <is>
          <t>大分類
(機能・クラス)</t>
        </is>
      </c>
      <c r="D3" s="8" t="inlineStr">
        <is>
          <t>中分類
(メソッド/operationId)</t>
        </is>
      </c>
      <c r="E3" s="8" t="inlineStr">
        <is>
          <t>小分類
(テスト観点)</t>
        </is>
      </c>
      <c r="F3" s="8" t="inlineStr">
        <is>
          <t>推奨層</t>
        </is>
      </c>
      <c r="G3" s="8" t="inlineStr">
        <is>
          <t>種別</t>
        </is>
      </c>
      <c r="H3" s="8" t="inlineStr">
        <is>
          <t>前提条件</t>
        </is>
      </c>
      <c r="I3" s="8" t="inlineStr">
        <is>
          <t>入力・操作</t>
        </is>
      </c>
      <c r="J3" s="8" t="inlineStr">
        <is>
          <t>モック設定</t>
        </is>
      </c>
      <c r="K3" s="8" t="inlineStr">
        <is>
          <t>期待結果
(messageId/HTTP/状態遷移/マスク)</t>
        </is>
      </c>
      <c r="L3" s="8" t="inlineStr">
        <is>
          <t>テストメソッド名 /
@DisplayName</t>
        </is>
      </c>
      <c r="M3" s="8" t="inlineStr">
        <is>
          <t>実施予定日</t>
        </is>
      </c>
      <c r="N3" s="8" t="inlineStr">
        <is>
          <t>実施結果</t>
        </is>
      </c>
      <c r="O3" s="8" t="inlineStr">
        <is>
          <t>実施日</t>
        </is>
      </c>
      <c r="P3" s="8" t="inlineStr">
        <is>
          <t>実施者</t>
        </is>
      </c>
      <c r="Q3" s="8" t="inlineStr">
        <is>
          <t>確認者</t>
        </is>
      </c>
      <c r="R3" s="8" t="inlineStr">
        <is>
          <t>不具合No</t>
        </is>
      </c>
      <c r="S3" s="8" t="inlineStr">
        <is>
          <t>備考</t>
        </is>
      </c>
    </row>
    <row r="4" ht="38" customHeight="1">
      <c r="A4" s="15" t="n">
        <v>1</v>
      </c>
      <c r="B4" s="15" t="inlineStr">
        <is>
          <t>UT-〇〇-001</t>
        </is>
      </c>
      <c r="C4" s="15" t="inlineStr">
        <is>
          <t>〇〇ServiceImpl</t>
        </is>
      </c>
      <c r="D4" s="15" t="inlineStr">
        <is>
          <t>create / createXxx</t>
        </is>
      </c>
      <c r="E4" s="15" t="inlineStr">
        <is>
          <t>正常系：採番して登録</t>
        </is>
      </c>
      <c r="F4" s="15" t="inlineStr">
        <is>
          <t>L1</t>
        </is>
      </c>
      <c r="G4" s="15" t="inlineStr">
        <is>
          <t>正常</t>
        </is>
      </c>
      <c r="H4" s="15" t="inlineStr">
        <is>
          <t>〇〇が存在する</t>
        </is>
      </c>
      <c r="I4" s="15" t="inlineStr">
        <is>
          <t>有効な Dto</t>
        </is>
      </c>
      <c r="J4" s="15" t="inlineStr">
        <is>
          <t>〇〇Mapper.insert を 1 返す</t>
        </is>
      </c>
      <c r="K4" s="15" t="inlineStr">
        <is>
          <t>成功 I00NN / 状態 未→登録済</t>
        </is>
      </c>
      <c r="L4" s="15" t="inlineStr">
        <is>
          <t>UT-〇〇-001 正常_〇〇で成功 / shouldSucceedWhenXxx</t>
        </is>
      </c>
      <c r="M4" s="15" t="inlineStr">
        <is>
          <t>2026-10-20</t>
        </is>
      </c>
      <c r="N4" s="15" t="inlineStr">
        <is>
          <t>OK</t>
        </is>
      </c>
      <c r="O4" s="15" t="inlineStr">
        <is>
          <t>2026-10-20</t>
        </is>
      </c>
      <c r="P4" s="15" t="inlineStr">
        <is>
          <t>山田</t>
        </is>
      </c>
      <c r="Q4" s="15" t="inlineStr">
        <is>
          <t>鈴木</t>
        </is>
      </c>
      <c r="R4" s="15" t="inlineStr"/>
      <c r="S4" s="15" t="inlineStr">
        <is>
          <t>記入例（削除する）</t>
        </is>
      </c>
    </row>
    <row r="5" ht="30" customHeight="1">
      <c r="A5" s="9" t="n">
        <v>2</v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  <c r="S5" s="16" t="inlineStr"/>
    </row>
    <row r="6" ht="30" customHeight="1">
      <c r="A6" s="9" t="n">
        <v>3</v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</row>
    <row r="7" ht="30" customHeight="1">
      <c r="A7" s="9" t="n">
        <v>4</v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</row>
    <row r="8" ht="30" customHeight="1">
      <c r="A8" s="9" t="n">
        <v>5</v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</row>
    <row r="9" ht="30" customHeight="1">
      <c r="A9" s="9" t="n">
        <v>6</v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</row>
    <row r="10" ht="30" customHeight="1">
      <c r="A10" s="9" t="n">
        <v>7</v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</row>
    <row r="11" ht="30" customHeight="1">
      <c r="A11" s="9" t="n">
        <v>8</v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</row>
    <row r="12" ht="30" customHeight="1">
      <c r="A12" s="9" t="n">
        <v>9</v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</row>
    <row r="13" ht="30" customHeight="1">
      <c r="A13" s="9" t="n">
        <v>10</v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</row>
    <row r="14" ht="30" customHeight="1">
      <c r="A14" s="9" t="n">
        <v>11</v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</row>
    <row r="15" ht="30" customHeight="1">
      <c r="A15" s="9" t="n">
        <v>12</v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</row>
    <row r="16" ht="30" customHeight="1">
      <c r="A16" s="9" t="n">
        <v>13</v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</row>
    <row r="17" ht="30" customHeight="1">
      <c r="A17" s="9" t="n">
        <v>14</v>
      </c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  <c r="S17" s="16" t="inlineStr"/>
    </row>
    <row r="18" ht="30" customHeight="1">
      <c r="A18" s="9" t="n">
        <v>15</v>
      </c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</row>
    <row r="19" ht="30" customHeight="1">
      <c r="A19" s="9" t="n">
        <v>16</v>
      </c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  <c r="R19" s="16" t="inlineStr"/>
      <c r="S19" s="16" t="inlineStr"/>
    </row>
    <row r="20" ht="30" customHeight="1">
      <c r="A20" s="9" t="n">
        <v>17</v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</row>
    <row r="21" ht="30" customHeight="1">
      <c r="A21" s="9" t="n">
        <v>18</v>
      </c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6" t="inlineStr"/>
      <c r="S21" s="16" t="inlineStr"/>
    </row>
    <row r="22" ht="30" customHeight="1">
      <c r="A22" s="9" t="n">
        <v>19</v>
      </c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</row>
    <row r="23" ht="30" customHeight="1">
      <c r="A23" s="9" t="n">
        <v>20</v>
      </c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</row>
    <row r="24" ht="30" customHeight="1">
      <c r="A24" s="9" t="n">
        <v>21</v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</row>
    <row r="25" ht="30" customHeight="1">
      <c r="A25" s="9" t="n">
        <v>22</v>
      </c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</row>
    <row r="26" ht="30" customHeight="1">
      <c r="A26" s="9" t="n">
        <v>23</v>
      </c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</row>
    <row r="27" ht="30" customHeight="1">
      <c r="A27" s="9" t="n">
        <v>24</v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</row>
    <row r="28" ht="30" customHeight="1">
      <c r="A28" s="9" t="n">
        <v>25</v>
      </c>
      <c r="B28" s="16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</row>
    <row r="29" ht="30" customHeight="1">
      <c r="A29" s="9" t="n">
        <v>26</v>
      </c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/>
      <c r="Q29" s="16" t="inlineStr"/>
      <c r="R29" s="16" t="inlineStr"/>
      <c r="S29" s="16" t="inlineStr"/>
    </row>
    <row r="30" ht="30" customHeight="1">
      <c r="A30" s="9" t="n">
        <v>27</v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</row>
    <row r="31" ht="30" customHeight="1">
      <c r="A31" s="9" t="n">
        <v>28</v>
      </c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</row>
    <row r="32" ht="30" customHeight="1">
      <c r="A32" s="9" t="n">
        <v>29</v>
      </c>
      <c r="B32" s="16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</row>
    <row r="33" ht="30" customHeight="1">
      <c r="A33" s="9" t="n">
        <v>30</v>
      </c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</row>
    <row r="34" ht="30" customHeight="1">
      <c r="A34" s="9" t="n">
        <v>31</v>
      </c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</row>
    <row r="35" ht="30" customHeight="1">
      <c r="A35" s="9" t="n">
        <v>32</v>
      </c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</row>
    <row r="36" ht="30" customHeight="1">
      <c r="A36" s="9" t="n">
        <v>33</v>
      </c>
      <c r="B36" s="16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</row>
    <row r="37" ht="30" customHeight="1">
      <c r="A37" s="9" t="n">
        <v>34</v>
      </c>
      <c r="B37" s="16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</row>
    <row r="38" ht="30" customHeight="1">
      <c r="A38" s="9" t="n">
        <v>35</v>
      </c>
      <c r="B38" s="16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</row>
    <row r="39" ht="30" customHeight="1">
      <c r="A39" s="9" t="n">
        <v>36</v>
      </c>
      <c r="B39" s="16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</row>
    <row r="40" ht="30" customHeight="1">
      <c r="A40" s="9" t="n">
        <v>37</v>
      </c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</row>
    <row r="41" ht="30" customHeight="1">
      <c r="A41" s="9" t="n">
        <v>38</v>
      </c>
      <c r="B41" s="16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</row>
    <row r="42" ht="30" customHeight="1">
      <c r="A42" s="9" t="n">
        <v>39</v>
      </c>
      <c r="B42" s="16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  <c r="R42" s="16" t="inlineStr"/>
      <c r="S42" s="16" t="inlineStr"/>
    </row>
    <row r="43" ht="30" customHeight="1">
      <c r="A43" s="9" t="n">
        <v>40</v>
      </c>
      <c r="B43" s="16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  <c r="O43" s="16" t="inlineStr"/>
      <c r="P43" s="16" t="inlineStr"/>
      <c r="Q43" s="16" t="inlineStr"/>
      <c r="R43" s="16" t="inlineStr"/>
      <c r="S43" s="16" t="inlineStr"/>
    </row>
    <row r="44" ht="30" customHeight="1">
      <c r="A44" s="9" t="n">
        <v>41</v>
      </c>
      <c r="B44" s="16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</row>
    <row r="45" ht="30" customHeight="1">
      <c r="A45" s="9" t="n">
        <v>42</v>
      </c>
      <c r="B45" s="16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inlineStr"/>
      <c r="J45" s="16" t="inlineStr"/>
      <c r="K45" s="16" t="inlineStr"/>
      <c r="L45" s="16" t="inlineStr"/>
      <c r="M45" s="16" t="inlineStr"/>
      <c r="N45" s="16" t="inlineStr"/>
      <c r="O45" s="16" t="inlineStr"/>
      <c r="P45" s="16" t="inlineStr"/>
      <c r="Q45" s="16" t="inlineStr"/>
      <c r="R45" s="16" t="inlineStr"/>
      <c r="S45" s="16" t="inlineStr"/>
    </row>
    <row r="46" ht="30" customHeight="1">
      <c r="A46" s="9" t="n">
        <v>43</v>
      </c>
      <c r="B46" s="16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inlineStr"/>
      <c r="J46" s="16" t="inlineStr"/>
      <c r="K46" s="16" t="inlineStr"/>
      <c r="L46" s="16" t="inlineStr"/>
      <c r="M46" s="16" t="inlineStr"/>
      <c r="N46" s="16" t="inlineStr"/>
      <c r="O46" s="16" t="inlineStr"/>
      <c r="P46" s="16" t="inlineStr"/>
      <c r="Q46" s="16" t="inlineStr"/>
      <c r="R46" s="16" t="inlineStr"/>
      <c r="S46" s="16" t="inlineStr"/>
    </row>
    <row r="47" ht="30" customHeight="1">
      <c r="A47" s="9" t="n">
        <v>44</v>
      </c>
      <c r="B47" s="16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</row>
    <row r="48" ht="30" customHeight="1">
      <c r="A48" s="9" t="n">
        <v>45</v>
      </c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</row>
    <row r="49" ht="30" customHeight="1">
      <c r="A49" s="9" t="n">
        <v>46</v>
      </c>
      <c r="B49" s="16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</row>
    <row r="50" ht="30" customHeight="1">
      <c r="A50" s="9" t="n">
        <v>47</v>
      </c>
      <c r="B50" s="16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</row>
    <row r="51" ht="30" customHeight="1">
      <c r="A51" s="9" t="n">
        <v>48</v>
      </c>
      <c r="B51" s="16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inlineStr"/>
      <c r="J51" s="16" t="inlineStr"/>
      <c r="K51" s="16" t="inlineStr"/>
      <c r="L51" s="16" t="inlineStr"/>
      <c r="M51" s="16" t="inlineStr"/>
      <c r="N51" s="16" t="inlineStr"/>
      <c r="O51" s="16" t="inlineStr"/>
      <c r="P51" s="16" t="inlineStr"/>
      <c r="Q51" s="16" t="inlineStr"/>
      <c r="R51" s="16" t="inlineStr"/>
      <c r="S51" s="16" t="inlineStr"/>
    </row>
    <row r="52" ht="30" customHeight="1">
      <c r="A52" s="9" t="n">
        <v>49</v>
      </c>
      <c r="B52" s="16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inlineStr"/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</row>
    <row r="53" ht="30" customHeight="1">
      <c r="A53" s="9" t="n">
        <v>50</v>
      </c>
      <c r="B53" s="16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inlineStr"/>
      <c r="J53" s="16" t="inlineStr"/>
      <c r="K53" s="16" t="inlineStr"/>
      <c r="L53" s="16" t="inlineStr"/>
      <c r="M53" s="16" t="inlineStr"/>
      <c r="N53" s="16" t="inlineStr"/>
      <c r="O53" s="16" t="inlineStr"/>
      <c r="P53" s="16" t="inlineStr"/>
      <c r="Q53" s="16" t="inlineStr"/>
      <c r="R53" s="16" t="inlineStr"/>
      <c r="S53" s="16" t="inlineStr"/>
    </row>
  </sheetData>
  <mergeCells count="1">
    <mergeCell ref="A1:S1"/>
  </mergeCells>
  <dataValidations count="3">
    <dataValidation sqref="F4:F203" showDropDown="0" showInputMessage="0" showErrorMessage="0" allowBlank="1" type="list">
      <formula1>"L1,L2,L3"</formula1>
    </dataValidation>
    <dataValidation sqref="G4:G203" showDropDown="0" showInputMessage="0" showErrorMessage="0" allowBlank="1" type="list">
      <formula1>"正常,異常,権限,検証,境界"</formula1>
    </dataValidation>
    <dataValidation sqref="N4:N203" showDropDown="0" showInputMessage="0" showErrorMessage="0" allowBlank="1" type="list">
      <formula1>"OK,NG,対象外,保留"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4" customWidth="1" min="4" max="4"/>
    <col width="20" customWidth="1" min="5" max="5"/>
    <col width="8" customWidth="1" min="6" max="6"/>
    <col width="22" customWidth="1" min="7" max="7"/>
    <col width="24" customWidth="1" min="8" max="8"/>
    <col width="30" customWidth="1" min="9" max="9"/>
    <col width="28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20" customWidth="1" min="17" max="17"/>
  </cols>
  <sheetData>
    <row r="1" ht="26" customHeight="1">
      <c r="A1" s="1" t="inlineStr">
        <is>
          <t>単体テスト項目表（フロントエンド）</t>
        </is>
      </c>
    </row>
    <row r="3" ht="30" customHeight="1">
      <c r="A3" s="8" t="inlineStr">
        <is>
          <t>No.</t>
        </is>
      </c>
      <c r="B3" s="8" t="inlineStr">
        <is>
          <t>項目ID</t>
        </is>
      </c>
      <c r="C3" s="8" t="inlineStr">
        <is>
          <t>大分類
(画面・コンポーネント)</t>
        </is>
      </c>
      <c r="D3" s="8" t="inlineStr">
        <is>
          <t>中分類
(関数/フック/Component)</t>
        </is>
      </c>
      <c r="E3" s="8" t="inlineStr">
        <is>
          <t>小分類
(テスト観点)</t>
        </is>
      </c>
      <c r="F3" s="8" t="inlineStr">
        <is>
          <t>種別</t>
        </is>
      </c>
      <c r="G3" s="8" t="inlineStr">
        <is>
          <t>前提・Provider</t>
        </is>
      </c>
      <c r="H3" s="8" t="inlineStr">
        <is>
          <t>入力・操作</t>
        </is>
      </c>
      <c r="I3" s="8" t="inlineStr">
        <is>
          <t>期待結果
(i18nキー/状態/DOM/呼出)</t>
        </is>
      </c>
      <c r="J3" s="8" t="inlineStr">
        <is>
          <t>テストファイル / it()名</t>
        </is>
      </c>
      <c r="K3" s="8" t="inlineStr">
        <is>
          <t>実施予定日</t>
        </is>
      </c>
      <c r="L3" s="8" t="inlineStr">
        <is>
          <t>実施結果</t>
        </is>
      </c>
      <c r="M3" s="8" t="inlineStr">
        <is>
          <t>実施日</t>
        </is>
      </c>
      <c r="N3" s="8" t="inlineStr">
        <is>
          <t>実施者</t>
        </is>
      </c>
      <c r="O3" s="8" t="inlineStr">
        <is>
          <t>確認者</t>
        </is>
      </c>
      <c r="P3" s="8" t="inlineStr">
        <is>
          <t>不具合No</t>
        </is>
      </c>
      <c r="Q3" s="8" t="inlineStr">
        <is>
          <t>備考</t>
        </is>
      </c>
    </row>
    <row r="4" ht="38" customHeight="1">
      <c r="A4" s="15" t="n">
        <v>1</v>
      </c>
      <c r="B4" s="15" t="inlineStr">
        <is>
          <t>001</t>
        </is>
      </c>
      <c r="C4" s="15" t="inlineStr">
        <is>
          <t>〇〇画面 / 〇〇Form</t>
        </is>
      </c>
      <c r="D4" s="15" t="inlineStr">
        <is>
          <t>use〇〇 / formatXxx</t>
        </is>
      </c>
      <c r="E4" s="15" t="inlineStr">
        <is>
          <t>必須未入力でエラー表示</t>
        </is>
      </c>
      <c r="F4" s="15" t="inlineStr">
        <is>
          <t>検証</t>
        </is>
      </c>
      <c r="G4" s="15" t="inlineStr">
        <is>
          <t>t() はキー返しに単純化</t>
        </is>
      </c>
      <c r="H4" s="15" t="inlineStr">
        <is>
          <t>必須項目を空で送信</t>
        </is>
      </c>
      <c r="I4" s="15" t="inlineStr">
        <is>
          <t>エラー表示に i18n キー E00NN が渡る</t>
        </is>
      </c>
      <c r="J4" s="15" t="inlineStr">
        <is>
          <t>__tests__/〇〇-form.test.tsx / 必須未入力でE00NN</t>
        </is>
      </c>
      <c r="K4" s="15" t="inlineStr">
        <is>
          <t>2026-10-20</t>
        </is>
      </c>
      <c r="L4" s="15" t="inlineStr">
        <is>
          <t>OK</t>
        </is>
      </c>
      <c r="M4" s="15" t="inlineStr">
        <is>
          <t>2026-10-20</t>
        </is>
      </c>
      <c r="N4" s="15" t="inlineStr">
        <is>
          <t>佐藤</t>
        </is>
      </c>
      <c r="O4" s="15" t="inlineStr">
        <is>
          <t>鈴木</t>
        </is>
      </c>
      <c r="P4" s="15" t="inlineStr"/>
      <c r="Q4" s="15" t="inlineStr">
        <is>
          <t>記入例（削除する）</t>
        </is>
      </c>
    </row>
    <row r="5" ht="30" customHeight="1">
      <c r="A5" s="9" t="n">
        <v>2</v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</row>
    <row r="6" ht="30" customHeight="1">
      <c r="A6" s="9" t="n">
        <v>3</v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</row>
    <row r="7" ht="30" customHeight="1">
      <c r="A7" s="9" t="n">
        <v>4</v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</row>
    <row r="8" ht="30" customHeight="1">
      <c r="A8" s="9" t="n">
        <v>5</v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</row>
    <row r="9" ht="30" customHeight="1">
      <c r="A9" s="9" t="n">
        <v>6</v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</row>
    <row r="10" ht="30" customHeight="1">
      <c r="A10" s="9" t="n">
        <v>7</v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</row>
    <row r="11" ht="30" customHeight="1">
      <c r="A11" s="9" t="n">
        <v>8</v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</row>
    <row r="12" ht="30" customHeight="1">
      <c r="A12" s="9" t="n">
        <v>9</v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</row>
    <row r="13" ht="30" customHeight="1">
      <c r="A13" s="9" t="n">
        <v>10</v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</row>
    <row r="14" ht="30" customHeight="1">
      <c r="A14" s="9" t="n">
        <v>11</v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</row>
    <row r="15" ht="30" customHeight="1">
      <c r="A15" s="9" t="n">
        <v>12</v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</row>
    <row r="16" ht="30" customHeight="1">
      <c r="A16" s="9" t="n">
        <v>13</v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</row>
    <row r="17" ht="30" customHeight="1">
      <c r="A17" s="9" t="n">
        <v>14</v>
      </c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</row>
    <row r="18" ht="30" customHeight="1">
      <c r="A18" s="9" t="n">
        <v>15</v>
      </c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</row>
    <row r="19" ht="30" customHeight="1">
      <c r="A19" s="9" t="n">
        <v>16</v>
      </c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</row>
    <row r="20" ht="30" customHeight="1">
      <c r="A20" s="9" t="n">
        <v>17</v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</row>
    <row r="21" ht="30" customHeight="1">
      <c r="A21" s="9" t="n">
        <v>18</v>
      </c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</row>
    <row r="22" ht="30" customHeight="1">
      <c r="A22" s="9" t="n">
        <v>19</v>
      </c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</row>
    <row r="23" ht="30" customHeight="1">
      <c r="A23" s="9" t="n">
        <v>20</v>
      </c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</row>
    <row r="24" ht="30" customHeight="1">
      <c r="A24" s="9" t="n">
        <v>21</v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</row>
    <row r="25" ht="30" customHeight="1">
      <c r="A25" s="9" t="n">
        <v>22</v>
      </c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</row>
    <row r="26" ht="30" customHeight="1">
      <c r="A26" s="9" t="n">
        <v>23</v>
      </c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</row>
    <row r="27" ht="30" customHeight="1">
      <c r="A27" s="9" t="n">
        <v>24</v>
      </c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</row>
    <row r="28" ht="30" customHeight="1">
      <c r="A28" s="9" t="n">
        <v>25</v>
      </c>
      <c r="B28" s="16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</row>
    <row r="29" ht="30" customHeight="1">
      <c r="A29" s="9" t="n">
        <v>26</v>
      </c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/>
      <c r="Q29" s="16" t="inlineStr"/>
    </row>
    <row r="30" ht="30" customHeight="1">
      <c r="A30" s="9" t="n">
        <v>27</v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</row>
    <row r="31" ht="30" customHeight="1">
      <c r="A31" s="9" t="n">
        <v>28</v>
      </c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</row>
    <row r="32" ht="30" customHeight="1">
      <c r="A32" s="9" t="n">
        <v>29</v>
      </c>
      <c r="B32" s="16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</row>
    <row r="33" ht="30" customHeight="1">
      <c r="A33" s="9" t="n">
        <v>30</v>
      </c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</row>
    <row r="34" ht="30" customHeight="1">
      <c r="A34" s="9" t="n">
        <v>31</v>
      </c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</row>
    <row r="35" ht="30" customHeight="1">
      <c r="A35" s="9" t="n">
        <v>32</v>
      </c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</row>
    <row r="36" ht="30" customHeight="1">
      <c r="A36" s="9" t="n">
        <v>33</v>
      </c>
      <c r="B36" s="16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</row>
    <row r="37" ht="30" customHeight="1">
      <c r="A37" s="9" t="n">
        <v>34</v>
      </c>
      <c r="B37" s="16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</row>
    <row r="38" ht="30" customHeight="1">
      <c r="A38" s="9" t="n">
        <v>35</v>
      </c>
      <c r="B38" s="16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</row>
    <row r="39" ht="30" customHeight="1">
      <c r="A39" s="9" t="n">
        <v>36</v>
      </c>
      <c r="B39" s="16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</row>
    <row r="40" ht="30" customHeight="1">
      <c r="A40" s="9" t="n">
        <v>37</v>
      </c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</row>
    <row r="41" ht="30" customHeight="1">
      <c r="A41" s="9" t="n">
        <v>38</v>
      </c>
      <c r="B41" s="16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</row>
    <row r="42" ht="30" customHeight="1">
      <c r="A42" s="9" t="n">
        <v>39</v>
      </c>
      <c r="B42" s="16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</row>
    <row r="43" ht="30" customHeight="1">
      <c r="A43" s="9" t="n">
        <v>40</v>
      </c>
      <c r="B43" s="16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  <c r="O43" s="16" t="inlineStr"/>
      <c r="P43" s="16" t="inlineStr"/>
      <c r="Q43" s="16" t="inlineStr"/>
    </row>
    <row r="44" ht="30" customHeight="1">
      <c r="A44" s="9" t="n">
        <v>41</v>
      </c>
      <c r="B44" s="16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</row>
    <row r="45" ht="30" customHeight="1">
      <c r="A45" s="9" t="n">
        <v>42</v>
      </c>
      <c r="B45" s="16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inlineStr"/>
      <c r="J45" s="16" t="inlineStr"/>
      <c r="K45" s="16" t="inlineStr"/>
      <c r="L45" s="16" t="inlineStr"/>
      <c r="M45" s="16" t="inlineStr"/>
      <c r="N45" s="16" t="inlineStr"/>
      <c r="O45" s="16" t="inlineStr"/>
      <c r="P45" s="16" t="inlineStr"/>
      <c r="Q45" s="16" t="inlineStr"/>
    </row>
    <row r="46" ht="30" customHeight="1">
      <c r="A46" s="9" t="n">
        <v>43</v>
      </c>
      <c r="B46" s="16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inlineStr"/>
      <c r="J46" s="16" t="inlineStr"/>
      <c r="K46" s="16" t="inlineStr"/>
      <c r="L46" s="16" t="inlineStr"/>
      <c r="M46" s="16" t="inlineStr"/>
      <c r="N46" s="16" t="inlineStr"/>
      <c r="O46" s="16" t="inlineStr"/>
      <c r="P46" s="16" t="inlineStr"/>
      <c r="Q46" s="16" t="inlineStr"/>
    </row>
    <row r="47" ht="30" customHeight="1">
      <c r="A47" s="9" t="n">
        <v>44</v>
      </c>
      <c r="B47" s="16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</row>
    <row r="48" ht="30" customHeight="1">
      <c r="A48" s="9" t="n">
        <v>45</v>
      </c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</row>
    <row r="49" ht="30" customHeight="1">
      <c r="A49" s="9" t="n">
        <v>46</v>
      </c>
      <c r="B49" s="16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</row>
    <row r="50" ht="30" customHeight="1">
      <c r="A50" s="9" t="n">
        <v>47</v>
      </c>
      <c r="B50" s="16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</row>
    <row r="51" ht="30" customHeight="1">
      <c r="A51" s="9" t="n">
        <v>48</v>
      </c>
      <c r="B51" s="16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inlineStr"/>
      <c r="J51" s="16" t="inlineStr"/>
      <c r="K51" s="16" t="inlineStr"/>
      <c r="L51" s="16" t="inlineStr"/>
      <c r="M51" s="16" t="inlineStr"/>
      <c r="N51" s="16" t="inlineStr"/>
      <c r="O51" s="16" t="inlineStr"/>
      <c r="P51" s="16" t="inlineStr"/>
      <c r="Q51" s="16" t="inlineStr"/>
    </row>
    <row r="52" ht="30" customHeight="1">
      <c r="A52" s="9" t="n">
        <v>49</v>
      </c>
      <c r="B52" s="16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inlineStr"/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  <c r="Q52" s="16" t="inlineStr"/>
    </row>
    <row r="53" ht="30" customHeight="1">
      <c r="A53" s="9" t="n">
        <v>50</v>
      </c>
      <c r="B53" s="16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inlineStr"/>
      <c r="J53" s="16" t="inlineStr"/>
      <c r="K53" s="16" t="inlineStr"/>
      <c r="L53" s="16" t="inlineStr"/>
      <c r="M53" s="16" t="inlineStr"/>
      <c r="N53" s="16" t="inlineStr"/>
      <c r="O53" s="16" t="inlineStr"/>
      <c r="P53" s="16" t="inlineStr"/>
      <c r="Q53" s="16" t="inlineStr"/>
    </row>
  </sheetData>
  <mergeCells count="1">
    <mergeCell ref="A1:Q1"/>
  </mergeCells>
  <dataValidations count="2">
    <dataValidation sqref="F4:F203" showDropDown="0" showInputMessage="0" showErrorMessage="0" allowBlank="1" type="list">
      <formula1>"正常,異常,権限,検証,境界,イベント,遷移"</formula1>
    </dataValidation>
    <dataValidation sqref="L4:L203" showDropDown="0" showInputMessage="0" showErrorMessage="0" allowBlank="1" type="list">
      <formula1>"OK,NG,対象外,保留"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30" customWidth="1" min="5" max="5"/>
    <col width="8" customWidth="1" min="6" max="6"/>
    <col width="24" customWidth="1" min="7" max="7"/>
    <col width="28" customWidth="1" min="8" max="8"/>
    <col width="14" customWidth="1" min="9" max="9"/>
    <col width="10" customWidth="1" min="10" max="10"/>
    <col width="10" customWidth="1" min="11" max="11"/>
    <col width="12" customWidth="1" min="12" max="12"/>
    <col width="12" customWidth="1" min="13" max="13"/>
    <col width="20" customWidth="1" min="14" max="14"/>
  </cols>
  <sheetData>
    <row r="1" ht="26" customHeight="1">
      <c r="A1" s="1" t="inlineStr">
        <is>
          <t>不具合管理表</t>
        </is>
      </c>
    </row>
    <row r="3" ht="30" customHeight="1">
      <c r="A3" s="8" t="inlineStr">
        <is>
          <t>不具合No</t>
        </is>
      </c>
      <c r="B3" s="8" t="inlineStr">
        <is>
          <t>検出日</t>
        </is>
      </c>
      <c r="C3" s="8" t="inlineStr">
        <is>
          <t>対象
(UT-ID/項目ID)</t>
        </is>
      </c>
      <c r="D3" s="8" t="inlineStr">
        <is>
          <t>対象機能・画面</t>
        </is>
      </c>
      <c r="E3" s="8" t="inlineStr">
        <is>
          <t>不具合内容</t>
        </is>
      </c>
      <c r="F3" s="8" t="inlineStr">
        <is>
          <t>重要度</t>
        </is>
      </c>
      <c r="G3" s="8" t="inlineStr">
        <is>
          <t>原因</t>
        </is>
      </c>
      <c r="H3" s="8" t="inlineStr">
        <is>
          <t>対応内容</t>
        </is>
      </c>
      <c r="I3" s="8" t="inlineStr">
        <is>
          <t>状態</t>
        </is>
      </c>
      <c r="J3" s="8" t="inlineStr">
        <is>
          <t>検出者</t>
        </is>
      </c>
      <c r="K3" s="8" t="inlineStr">
        <is>
          <t>修正者</t>
        </is>
      </c>
      <c r="L3" s="8" t="inlineStr">
        <is>
          <t>修正日</t>
        </is>
      </c>
      <c r="M3" s="8" t="inlineStr">
        <is>
          <t>再試験日</t>
        </is>
      </c>
      <c r="N3" s="8" t="inlineStr">
        <is>
          <t>備考</t>
        </is>
      </c>
    </row>
    <row r="4" ht="38" customHeight="1">
      <c r="A4" s="15" t="inlineStr">
        <is>
          <t>BUG-001</t>
        </is>
      </c>
      <c r="B4" s="15" t="inlineStr">
        <is>
          <t>2026-10-20</t>
        </is>
      </c>
      <c r="C4" s="15" t="inlineStr">
        <is>
          <t>UT-〇〇-004</t>
        </is>
      </c>
      <c r="D4" s="15" t="inlineStr">
        <is>
          <t>〇〇機能</t>
        </is>
      </c>
      <c r="E4" s="15" t="inlineStr">
        <is>
          <t>禁止遷移時に 409 でなく 500 を返す</t>
        </is>
      </c>
      <c r="F4" s="15" t="inlineStr">
        <is>
          <t>高</t>
        </is>
      </c>
      <c r="G4" s="15" t="inlineStr">
        <is>
          <t>状態判定の分岐漏れ</t>
        </is>
      </c>
      <c r="H4" s="15" t="inlineStr">
        <is>
          <t>ServiceImpl に状態チェックを追加</t>
        </is>
      </c>
      <c r="I4" s="15" t="inlineStr">
        <is>
          <t>修正済</t>
        </is>
      </c>
      <c r="J4" s="15" t="inlineStr">
        <is>
          <t>佐藤</t>
        </is>
      </c>
      <c r="K4" s="15" t="inlineStr">
        <is>
          <t>山田</t>
        </is>
      </c>
      <c r="L4" s="15" t="inlineStr">
        <is>
          <t>2026-10-21</t>
        </is>
      </c>
      <c r="M4" s="15" t="inlineStr">
        <is>
          <t>2026-10-21</t>
        </is>
      </c>
      <c r="N4" s="15" t="inlineStr">
        <is>
          <t>記入例（削除する）</t>
        </is>
      </c>
    </row>
    <row r="5" ht="30" customHeight="1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</row>
    <row r="6" ht="30" customHeight="1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</row>
    <row r="7" ht="30" customHeight="1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</row>
    <row r="8" ht="30" customHeight="1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</row>
    <row r="9" ht="30" customHeight="1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</row>
    <row r="10" ht="30" customHeight="1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</row>
    <row r="11" ht="30" customHeight="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</row>
    <row r="12" ht="30" customHeight="1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</row>
    <row r="13" ht="30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</row>
    <row r="14" ht="30" customHeight="1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</row>
    <row r="15" ht="30" customHeight="1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</row>
    <row r="16" ht="30" customHeight="1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</row>
    <row r="17" ht="30" customHeight="1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</row>
    <row r="18" ht="30" customHeight="1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</row>
    <row r="19" ht="30" customHeight="1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</row>
    <row r="20" ht="30" customHeight="1">
      <c r="A20" s="16" t="inlineStr"/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</row>
    <row r="21" ht="30" customHeight="1">
      <c r="A21" s="16" t="inlineStr"/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</row>
    <row r="22" ht="30" customHeight="1">
      <c r="A22" s="16" t="inlineStr"/>
      <c r="B22" s="16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</row>
    <row r="23" ht="30" customHeight="1">
      <c r="A23" s="16" t="inlineStr"/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</row>
    <row r="24" ht="30" customHeight="1">
      <c r="A24" s="16" t="inlineStr"/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</row>
    <row r="25" ht="30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</row>
    <row r="26" ht="30" customHeight="1">
      <c r="A26" s="16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</row>
    <row r="27" ht="30" customHeight="1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</row>
    <row r="28" ht="30" customHeight="1">
      <c r="A28" s="16" t="inlineStr"/>
      <c r="B28" s="16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</row>
    <row r="29" ht="30" customHeight="1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</row>
    <row r="30" ht="30" customHeight="1">
      <c r="A30" s="16" t="inlineStr"/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</row>
    <row r="31" ht="30" customHeight="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</row>
    <row r="32" ht="30" customHeight="1">
      <c r="A32" s="16" t="inlineStr"/>
      <c r="B32" s="16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</row>
    <row r="33" ht="30" customHeight="1">
      <c r="A33" s="16" t="inlineStr"/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</row>
    <row r="34" ht="30" customHeight="1">
      <c r="A34" s="16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</row>
    <row r="35" ht="30" customHeight="1">
      <c r="A35" s="16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</row>
    <row r="36" ht="30" customHeight="1">
      <c r="A36" s="16" t="inlineStr"/>
      <c r="B36" s="16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</row>
    <row r="37" ht="30" customHeight="1">
      <c r="A37" s="16" t="inlineStr"/>
      <c r="B37" s="16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</row>
    <row r="38" ht="30" customHeight="1">
      <c r="A38" s="16" t="inlineStr"/>
      <c r="B38" s="16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</row>
    <row r="39" ht="30" customHeight="1">
      <c r="A39" s="16" t="inlineStr"/>
      <c r="B39" s="16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</row>
    <row r="40" ht="30" customHeight="1">
      <c r="A40" s="16" t="inlineStr"/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</row>
    <row r="41" ht="30" customHeight="1">
      <c r="A41" s="16" t="inlineStr"/>
      <c r="B41" s="16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</row>
    <row r="42" ht="30" customHeight="1">
      <c r="A42" s="16" t="inlineStr"/>
      <c r="B42" s="16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</row>
    <row r="43" ht="30" customHeight="1">
      <c r="A43" s="16" t="inlineStr"/>
      <c r="B43" s="16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</row>
  </sheetData>
  <mergeCells count="1">
    <mergeCell ref="A1:N1"/>
  </mergeCells>
  <dataValidations count="2">
    <dataValidation sqref="F4:F203" showDropDown="0" showInputMessage="0" showErrorMessage="0" allowBlank="1" type="list">
      <formula1>"高,中,低"</formula1>
    </dataValidation>
    <dataValidation sqref="I4:I203" showDropDown="0" showInputMessage="0" showErrorMessage="0" allowBlank="1" type="list">
      <formula1>"起票,対応中,修正済,再試験OK,クローズ,対象外"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34" customWidth="1" min="4" max="4"/>
  </cols>
  <sheetData>
    <row r="1" ht="26" customHeight="1">
      <c r="A1" s="1" t="inlineStr">
        <is>
          <t>単体テスト 完了判定チェックリスト</t>
        </is>
      </c>
    </row>
    <row r="2">
      <c r="A2" s="17" t="inlineStr">
        <is>
          <t>根拠：開発規約/spec-test-rule.md §7・§9、詳細設計 §5.1 カバレッジ規約（§6.1 D11）</t>
        </is>
      </c>
    </row>
    <row r="4" ht="30" customHeight="1">
      <c r="A4" s="8" t="inlineStr">
        <is>
          <t>#</t>
        </is>
      </c>
      <c r="B4" s="8" t="inlineStr">
        <is>
          <t>確認項目</t>
        </is>
      </c>
      <c r="C4" s="8" t="inlineStr">
        <is>
          <t>判定</t>
        </is>
      </c>
      <c r="D4" s="8" t="inlineStr">
        <is>
          <t>備考</t>
        </is>
      </c>
    </row>
    <row r="5" ht="24" customHeight="1">
      <c r="A5" s="9" t="n">
        <v>1</v>
      </c>
      <c r="B5" s="5" t="inlineStr">
        <is>
          <t>【カバレッジ】各 operationId につき正常系を 1 件以上作成した</t>
        </is>
      </c>
      <c r="C5" s="9" t="inlineStr"/>
      <c r="D5" s="5" t="inlineStr"/>
    </row>
    <row r="6" ht="24" customHeight="1">
      <c r="A6" s="9" t="n">
        <v>2</v>
      </c>
      <c r="B6" s="5" t="inlineStr">
        <is>
          <t>【カバレッジ】詳細設計 §1.2 の例外分岐（messageId→例外）ごとに 1 件作成した</t>
        </is>
      </c>
      <c r="C6" s="9" t="inlineStr"/>
      <c r="D6" s="5" t="inlineStr"/>
    </row>
    <row r="7" ht="24" customHeight="1">
      <c r="A7" s="9" t="n">
        <v>3</v>
      </c>
      <c r="B7" s="5" t="inlineStr">
        <is>
          <t>【カバレッジ】@PreAuthorize の各ロールの『拒否』ごとに 1 件作成した</t>
        </is>
      </c>
      <c r="C7" s="9" t="inlineStr"/>
      <c r="D7" s="5" t="inlineStr"/>
    </row>
    <row r="8" ht="24" customHeight="1">
      <c r="A8" s="9" t="n">
        <v>4</v>
      </c>
      <c r="B8" s="5" t="inlineStr">
        <is>
          <t>【カバレッジ】主要な Bean Validation 境界（必須欠落・不正列挙値→400）を 1 件以上作成した</t>
        </is>
      </c>
      <c r="C8" s="9" t="inlineStr"/>
      <c r="D8" s="5" t="inlineStr"/>
    </row>
    <row r="9" ht="24" customHeight="1">
      <c r="A9" s="9" t="n">
        <v>5</v>
      </c>
      <c r="B9" s="5" t="inlineStr">
        <is>
          <t>【カバレッジ】暗号化カラムのラウンドトリップ、マスクをロールごとに各 1 件作成した</t>
        </is>
      </c>
      <c r="C9" s="9" t="inlineStr"/>
      <c r="D9" s="5" t="inlineStr"/>
    </row>
    <row r="10" ht="24" customHeight="1">
      <c r="A10" s="9" t="n">
        <v>6</v>
      </c>
      <c r="B10" s="5" t="inlineStr">
        <is>
          <t>【カバレッジ】状態遷移の『禁止遷移』ごとに 1 件の異常用例を作成した</t>
        </is>
      </c>
      <c r="C10" s="9" t="inlineStr"/>
      <c r="D10" s="5" t="inlineStr"/>
    </row>
    <row r="11" ht="24" customHeight="1">
      <c r="A11" s="9" t="n">
        <v>7</v>
      </c>
      <c r="B11" s="5" t="inlineStr">
        <is>
          <t>【整合】UT-ID に欠落・重複がなく、詳細設計 §5.1 と一致している</t>
        </is>
      </c>
      <c r="C11" s="9" t="inlineStr"/>
      <c r="D11" s="5" t="inlineStr"/>
    </row>
    <row r="12" ht="24" customHeight="1">
      <c r="A12" s="9" t="n">
        <v>8</v>
      </c>
      <c r="B12" s="5" t="inlineStr">
        <is>
          <t>【整合】期待値は SSOT 参照のみ（messageId/HTTP/マスク）で、実装の挙動を正解にしていない</t>
        </is>
      </c>
      <c r="C12" s="9" t="inlineStr"/>
      <c r="D12" s="5" t="inlineStr"/>
    </row>
    <row r="13" ht="24" customHeight="1">
      <c r="A13" s="9" t="n">
        <v>9</v>
      </c>
      <c r="B13" s="5" t="inlineStr">
        <is>
          <t>【品質】空・恒真アサーション、理由なき @Disabled、ゲート通過だけの空実装が無い</t>
        </is>
      </c>
      <c r="C13" s="9" t="inlineStr"/>
      <c r="D13" s="5" t="inlineStr"/>
    </row>
    <row r="14" ht="24" customHeight="1">
      <c r="A14" s="9" t="n">
        <v>10</v>
      </c>
      <c r="B14" s="5" t="inlineStr">
        <is>
          <t>【品質】@DisplayName / it() の先頭に ID を付与している</t>
        </is>
      </c>
      <c r="C14" s="9" t="inlineStr"/>
      <c r="D14" s="5" t="inlineStr"/>
    </row>
    <row r="15" ht="24" customHeight="1">
      <c r="A15" s="9" t="n">
        <v>11</v>
      </c>
      <c r="B15" s="5" t="inlineStr">
        <is>
          <t>【実行】*Test=surefire / *IT=failsafe に束縛し、mvn verify で全層実行できる</t>
        </is>
      </c>
      <c r="C15" s="9" t="inlineStr"/>
      <c r="D15" s="5" t="inlineStr"/>
    </row>
    <row r="16" ht="24" customHeight="1">
      <c r="A16" s="9" t="n">
        <v>12</v>
      </c>
      <c r="B16" s="5" t="inlineStr">
        <is>
          <t>【実行】レポートのデータ源は JUnit XML（surefire/failsafe・vitest junit）である</t>
        </is>
      </c>
      <c r="C16" s="9" t="inlineStr"/>
      <c r="D16" s="5" t="inlineStr"/>
    </row>
    <row r="17" ht="24" customHeight="1">
      <c r="A17" s="9" t="n">
        <v>13</v>
      </c>
      <c r="B17" s="5" t="inlineStr">
        <is>
          <t>【報告】契約と実装の乖離は RED のまま上流へ報告、または課題として記録した</t>
        </is>
      </c>
      <c r="C17" s="9" t="inlineStr"/>
      <c r="D17" s="5" t="inlineStr"/>
    </row>
  </sheetData>
  <mergeCells count="2">
    <mergeCell ref="A1:D1"/>
    <mergeCell ref="A2:D2"/>
  </mergeCells>
  <dataValidations count="1">
    <dataValidation sqref="C5:C17" showDropDown="0" showInputMessage="0" showErrorMessage="0" allowBlank="1" type="list">
      <formula1>"OK,NG,対象外,未確認"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2026-10-19T04:28:41Z</dcterms:created>
  <dcterms:modified xmlns:dcterms="http://purl.org/dc/terms/" xmlns:xsi="http://www.w3.org/2001/XMLSchema-instance" xsi:type="dcterms:W3CDTF">2026-10-19T04:28:42Z</dcterms:modified>
</cp:coreProperties>
</file>